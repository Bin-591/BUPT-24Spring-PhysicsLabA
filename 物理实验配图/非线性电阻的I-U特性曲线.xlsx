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QB\Desktop\"/>
    </mc:Choice>
  </mc:AlternateContent>
  <xr:revisionPtr revIDLastSave="0" documentId="13_ncr:1_{A77DB8B7-3874-4CAE-8E9C-FB6FA71D99C8}" xr6:coauthVersionLast="47" xr6:coauthVersionMax="47" xr10:uidLastSave="{00000000-0000-0000-0000-000000000000}"/>
  <bookViews>
    <workbookView xWindow="-110" yWindow="-110" windowWidth="25820" windowHeight="15500" xr2:uid="{5AA95DBA-B626-456F-8562-D5229845A6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5" i="1" l="1"/>
  <c r="G66" i="1"/>
  <c r="G67" i="1"/>
  <c r="G68" i="1"/>
  <c r="G69" i="1"/>
  <c r="G70" i="1"/>
  <c r="G71" i="1"/>
  <c r="G72" i="1"/>
  <c r="G73" i="1"/>
  <c r="G64" i="1"/>
  <c r="F65" i="1"/>
  <c r="F66" i="1"/>
  <c r="F67" i="1"/>
  <c r="F68" i="1"/>
  <c r="F69" i="1"/>
  <c r="F70" i="1"/>
  <c r="F71" i="1"/>
  <c r="F72" i="1"/>
  <c r="F73" i="1"/>
  <c r="F64" i="1"/>
  <c r="D65" i="1"/>
  <c r="D66" i="1"/>
  <c r="D67" i="1"/>
  <c r="D68" i="1"/>
  <c r="D69" i="1"/>
  <c r="D70" i="1"/>
  <c r="D71" i="1"/>
  <c r="D72" i="1"/>
  <c r="D73" i="1"/>
  <c r="D64" i="1"/>
  <c r="C65" i="1"/>
  <c r="C66" i="1"/>
  <c r="C67" i="1"/>
  <c r="C68" i="1"/>
  <c r="C69" i="1"/>
  <c r="C70" i="1"/>
  <c r="C71" i="1"/>
  <c r="C72" i="1"/>
  <c r="C73" i="1"/>
  <c r="C64" i="1"/>
  <c r="E3" i="1"/>
  <c r="G3" i="1" s="1"/>
  <c r="E4" i="1"/>
  <c r="G4" i="1" s="1"/>
  <c r="E5" i="1"/>
  <c r="G5" i="1" s="1"/>
  <c r="E6" i="1"/>
  <c r="G6" i="1" s="1"/>
  <c r="E7" i="1"/>
  <c r="E8" i="1"/>
  <c r="E9" i="1"/>
  <c r="G9" i="1" s="1"/>
  <c r="E10" i="1"/>
  <c r="E11" i="1"/>
  <c r="E12" i="1"/>
  <c r="E13" i="1"/>
  <c r="E14" i="1"/>
  <c r="E15" i="1"/>
  <c r="E16" i="1"/>
  <c r="E17" i="1"/>
  <c r="E18" i="1"/>
  <c r="E19" i="1"/>
  <c r="G19" i="1" s="1"/>
  <c r="E20" i="1"/>
  <c r="G20" i="1" s="1"/>
  <c r="E21" i="1"/>
  <c r="G21" i="1" s="1"/>
  <c r="E22" i="1"/>
  <c r="G22" i="1" s="1"/>
  <c r="E23" i="1"/>
  <c r="G23" i="1" s="1"/>
  <c r="E24" i="1"/>
  <c r="G24" i="1" s="1"/>
  <c r="E25" i="1"/>
  <c r="G25" i="1" s="1"/>
  <c r="E26" i="1"/>
  <c r="G26" i="1" s="1"/>
  <c r="E27" i="1"/>
  <c r="G27" i="1" s="1"/>
  <c r="E28" i="1"/>
  <c r="E29" i="1"/>
  <c r="G29" i="1" s="1"/>
  <c r="E30" i="1"/>
  <c r="E31" i="1"/>
  <c r="E32" i="1"/>
  <c r="E33" i="1"/>
  <c r="E34" i="1"/>
  <c r="E35" i="1"/>
  <c r="E36" i="1"/>
  <c r="E37" i="1"/>
  <c r="E38" i="1"/>
  <c r="E39" i="1"/>
  <c r="G39" i="1" s="1"/>
  <c r="E40" i="1"/>
  <c r="G40" i="1" s="1"/>
  <c r="E41" i="1"/>
  <c r="G41" i="1" s="1"/>
  <c r="E42" i="1"/>
  <c r="G42" i="1" s="1"/>
  <c r="E43" i="1"/>
  <c r="G43" i="1" s="1"/>
  <c r="E2" i="1"/>
  <c r="A3" i="1"/>
  <c r="C3" i="1" s="1"/>
  <c r="A4" i="1"/>
  <c r="C4" i="1" s="1"/>
  <c r="A5" i="1"/>
  <c r="A6" i="1"/>
  <c r="A7" i="1"/>
  <c r="A8" i="1"/>
  <c r="A9" i="1"/>
  <c r="A10" i="1"/>
  <c r="A11" i="1"/>
  <c r="A12" i="1"/>
  <c r="A13" i="1"/>
  <c r="A14" i="1"/>
  <c r="A15" i="1"/>
  <c r="A16" i="1"/>
  <c r="C16" i="1" s="1"/>
  <c r="A17" i="1"/>
  <c r="C17" i="1" s="1"/>
  <c r="A18" i="1"/>
  <c r="C18" i="1" s="1"/>
  <c r="A19" i="1"/>
  <c r="C19" i="1" s="1"/>
  <c r="A20" i="1"/>
  <c r="C20" i="1" s="1"/>
  <c r="A21" i="1"/>
  <c r="C21" i="1" s="1"/>
  <c r="A22" i="1"/>
  <c r="C22" i="1" s="1"/>
  <c r="A23" i="1"/>
  <c r="C23" i="1" s="1"/>
  <c r="A24" i="1"/>
  <c r="C24" i="1" s="1"/>
  <c r="A25" i="1"/>
  <c r="C25" i="1" s="1"/>
  <c r="A26" i="1"/>
  <c r="A27" i="1"/>
  <c r="A28" i="1"/>
  <c r="A29" i="1"/>
  <c r="A30" i="1"/>
  <c r="A31" i="1"/>
  <c r="A32" i="1"/>
  <c r="A33" i="1"/>
  <c r="A34" i="1"/>
  <c r="A35" i="1"/>
  <c r="C35" i="1" s="1"/>
  <c r="A36" i="1"/>
  <c r="C36" i="1" s="1"/>
  <c r="A37" i="1"/>
  <c r="C37" i="1" s="1"/>
  <c r="A38" i="1"/>
  <c r="C38" i="1" s="1"/>
  <c r="A39" i="1"/>
  <c r="C39" i="1" s="1"/>
  <c r="A40" i="1"/>
  <c r="C40" i="1" s="1"/>
  <c r="A41" i="1"/>
  <c r="C41" i="1" s="1"/>
  <c r="A42" i="1"/>
  <c r="C42" i="1" s="1"/>
  <c r="A43" i="1"/>
  <c r="A2" i="1"/>
  <c r="C2" i="1"/>
  <c r="C43" i="1"/>
  <c r="C5" i="1"/>
  <c r="C33" i="1"/>
  <c r="C34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2" i="1"/>
  <c r="G38" i="1"/>
  <c r="G37" i="1"/>
  <c r="G36" i="1"/>
  <c r="G35" i="1"/>
  <c r="G34" i="1"/>
  <c r="G33" i="1"/>
  <c r="G32" i="1"/>
  <c r="G31" i="1"/>
  <c r="G30" i="1"/>
  <c r="G28" i="1"/>
  <c r="G18" i="1"/>
  <c r="G17" i="1"/>
  <c r="G16" i="1"/>
  <c r="G15" i="1"/>
  <c r="G14" i="1"/>
  <c r="G13" i="1"/>
  <c r="G12" i="1"/>
  <c r="G11" i="1"/>
  <c r="G10" i="1"/>
  <c r="G8" i="1"/>
  <c r="G7" i="1"/>
  <c r="G2" i="1"/>
  <c r="C10" i="1"/>
  <c r="C11" i="1"/>
  <c r="C12" i="1"/>
  <c r="C13" i="1"/>
  <c r="C14" i="1"/>
  <c r="C15" i="1"/>
  <c r="C30" i="1"/>
  <c r="C31" i="1"/>
  <c r="C32" i="1"/>
  <c r="C28" i="1" l="1"/>
  <c r="C8" i="1"/>
  <c r="C27" i="1"/>
  <c r="C7" i="1"/>
  <c r="C26" i="1"/>
  <c r="C6" i="1"/>
  <c r="C29" i="1"/>
  <c r="C9" i="1"/>
</calcChain>
</file>

<file path=xl/sharedStrings.xml><?xml version="1.0" encoding="utf-8"?>
<sst xmlns="http://schemas.openxmlformats.org/spreadsheetml/2006/main" count="10" uniqueCount="3">
  <si>
    <t>I(mA)</t>
    <phoneticPr fontId="1" type="noConversion"/>
  </si>
  <si>
    <t>U(V)</t>
    <phoneticPr fontId="1" type="noConversion"/>
  </si>
  <si>
    <t>R(Ω)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</si>
</sst>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0.000_ "/>
    <numFmt numFmtId="178" formatCode="0.00_ "/>
  </numFmts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0" fillId="0" borderId="0" xfId="0" applyNumberFormat="1">
      <alignment vertical="center"/>
    </xf>
    <xf numFmtId="176" fontId="2" fillId="0" borderId="1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defRPr>
            </a:pPr>
            <a:r>
              <a:rPr lang="zh-CN" altLang="en-US" b="1"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非线性电阻的</a:t>
            </a:r>
            <a:r>
              <a:rPr lang="en-US" altLang="zh-CN" b="1" i="1"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I</a:t>
            </a:r>
            <a:r>
              <a:rPr lang="en-US" altLang="zh-CN" b="1"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-</a:t>
            </a:r>
            <a:r>
              <a:rPr lang="en-US" altLang="zh-CN" b="1" i="1"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U</a:t>
            </a:r>
            <a:r>
              <a:rPr lang="zh-CN" altLang="en-US" b="1">
                <a:latin typeface="Times New Roman" panose="02020603050405020304" pitchFamily="18" charset="0"/>
                <a:ea typeface="宋体" panose="02010600030101010101" pitchFamily="2" charset="-122"/>
                <a:cs typeface="Times New Roman" panose="02020603050405020304" pitchFamily="18" charset="0"/>
              </a:rPr>
              <a:t>特性曲线</a:t>
            </a:r>
          </a:p>
        </c:rich>
      </c:tx>
      <c:layout>
        <c:manualLayout>
          <c:xMode val="edge"/>
          <c:yMode val="edge"/>
          <c:x val="0.28266178266178266"/>
          <c:y val="4.628099173553718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宋体" panose="02010600030101010101" pitchFamily="2" charset="-122"/>
              <a:cs typeface="Times New Roman" panose="02020603050405020304" pitchFamily="18" charset="0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6.0433407362541221E-2"/>
          <c:y val="0.13939607549056368"/>
          <c:w val="0.88339438339438336"/>
          <c:h val="0.81365211166785967"/>
        </c:manualLayout>
      </c:layout>
      <c:scatterChart>
        <c:scatterStyle val="lineMarker"/>
        <c:varyColors val="0"/>
        <c:ser>
          <c:idx val="0"/>
          <c:order val="0"/>
          <c:tx>
            <c:v>负U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Sheet1!$B$2:$B$43</c:f>
              <c:numCache>
                <c:formatCode>0.00_ </c:formatCode>
                <c:ptCount val="42"/>
                <c:pt idx="0">
                  <c:v>0</c:v>
                </c:pt>
                <c:pt idx="1">
                  <c:v>-0.2</c:v>
                </c:pt>
                <c:pt idx="2">
                  <c:v>-0.4</c:v>
                </c:pt>
                <c:pt idx="3">
                  <c:v>-0.6</c:v>
                </c:pt>
                <c:pt idx="4">
                  <c:v>-0.8</c:v>
                </c:pt>
                <c:pt idx="5">
                  <c:v>-1</c:v>
                </c:pt>
                <c:pt idx="6">
                  <c:v>-1.2</c:v>
                </c:pt>
                <c:pt idx="7">
                  <c:v>-1.4</c:v>
                </c:pt>
                <c:pt idx="8">
                  <c:v>-1.6</c:v>
                </c:pt>
                <c:pt idx="9">
                  <c:v>-1.8</c:v>
                </c:pt>
                <c:pt idx="10">
                  <c:v>-2</c:v>
                </c:pt>
                <c:pt idx="11">
                  <c:v>-2.2000000000000002</c:v>
                </c:pt>
                <c:pt idx="12">
                  <c:v>-2.4</c:v>
                </c:pt>
                <c:pt idx="13">
                  <c:v>-2.6</c:v>
                </c:pt>
                <c:pt idx="14">
                  <c:v>-3.1</c:v>
                </c:pt>
                <c:pt idx="15">
                  <c:v>-3.6</c:v>
                </c:pt>
                <c:pt idx="16">
                  <c:v>-4.0999999999999996</c:v>
                </c:pt>
                <c:pt idx="17">
                  <c:v>-4.5999999999999996</c:v>
                </c:pt>
                <c:pt idx="18">
                  <c:v>-5.0999999999999996</c:v>
                </c:pt>
                <c:pt idx="19">
                  <c:v>-5.6</c:v>
                </c:pt>
                <c:pt idx="20">
                  <c:v>-6.1</c:v>
                </c:pt>
                <c:pt idx="21">
                  <c:v>-6.6</c:v>
                </c:pt>
                <c:pt idx="22">
                  <c:v>-7.1</c:v>
                </c:pt>
                <c:pt idx="23">
                  <c:v>-7.6</c:v>
                </c:pt>
                <c:pt idx="24">
                  <c:v>-8.1</c:v>
                </c:pt>
                <c:pt idx="25">
                  <c:v>-8.6</c:v>
                </c:pt>
                <c:pt idx="26">
                  <c:v>-9.1</c:v>
                </c:pt>
                <c:pt idx="27">
                  <c:v>-9.6</c:v>
                </c:pt>
                <c:pt idx="28">
                  <c:v>-9.8000000000000007</c:v>
                </c:pt>
                <c:pt idx="29">
                  <c:v>-10</c:v>
                </c:pt>
                <c:pt idx="30">
                  <c:v>-10.199999999999999</c:v>
                </c:pt>
                <c:pt idx="31">
                  <c:v>-10.4</c:v>
                </c:pt>
                <c:pt idx="32">
                  <c:v>-10.6</c:v>
                </c:pt>
                <c:pt idx="33">
                  <c:v>-10.8</c:v>
                </c:pt>
                <c:pt idx="34">
                  <c:v>-11</c:v>
                </c:pt>
                <c:pt idx="35">
                  <c:v>-11.2</c:v>
                </c:pt>
                <c:pt idx="36">
                  <c:v>-11.4</c:v>
                </c:pt>
                <c:pt idx="37">
                  <c:v>-11.6</c:v>
                </c:pt>
                <c:pt idx="38">
                  <c:v>-11.8</c:v>
                </c:pt>
                <c:pt idx="39">
                  <c:v>-12</c:v>
                </c:pt>
                <c:pt idx="40">
                  <c:v>-12.2</c:v>
                </c:pt>
                <c:pt idx="41">
                  <c:v>-12.23</c:v>
                </c:pt>
              </c:numCache>
            </c:numRef>
          </c:xVal>
          <c:yVal>
            <c:numRef>
              <c:f>Sheet1!$C$2:$C$43</c:f>
              <c:numCache>
                <c:formatCode>0.000_ </c:formatCode>
                <c:ptCount val="42"/>
                <c:pt idx="0">
                  <c:v>0</c:v>
                </c:pt>
                <c:pt idx="1">
                  <c:v>0.17167381974248927</c:v>
                </c:pt>
                <c:pt idx="2">
                  <c:v>0.32284100080710249</c:v>
                </c:pt>
                <c:pt idx="3">
                  <c:v>0.47404598246029861</c:v>
                </c:pt>
                <c:pt idx="4">
                  <c:v>0.62519537355423571</c:v>
                </c:pt>
                <c:pt idx="5">
                  <c:v>0.77633724089744593</c:v>
                </c:pt>
                <c:pt idx="6">
                  <c:v>0.92750038645849442</c:v>
                </c:pt>
                <c:pt idx="7">
                  <c:v>1.0786655366361044</c:v>
                </c:pt>
                <c:pt idx="8">
                  <c:v>1.2297286911075245</c:v>
                </c:pt>
                <c:pt idx="9">
                  <c:v>1.3677811550151975</c:v>
                </c:pt>
                <c:pt idx="10">
                  <c:v>1.4471780028943559</c:v>
                </c:pt>
                <c:pt idx="11">
                  <c:v>1.5272474835126693</c:v>
                </c:pt>
                <c:pt idx="12">
                  <c:v>1.6071787316681176</c:v>
                </c:pt>
                <c:pt idx="13">
                  <c:v>1.687654160716604</c:v>
                </c:pt>
                <c:pt idx="14">
                  <c:v>1.8897829797610337</c:v>
                </c:pt>
                <c:pt idx="15">
                  <c:v>2.0922933860281296</c:v>
                </c:pt>
                <c:pt idx="16">
                  <c:v>2.2948617485727079</c:v>
                </c:pt>
                <c:pt idx="17">
                  <c:v>2.4972855591748102</c:v>
                </c:pt>
                <c:pt idx="18">
                  <c:v>2.6998411858125992</c:v>
                </c:pt>
                <c:pt idx="19">
                  <c:v>2.9021558872305144</c:v>
                </c:pt>
                <c:pt idx="20">
                  <c:v>3.1046416938110748</c:v>
                </c:pt>
                <c:pt idx="21">
                  <c:v>3.3071102871173021</c:v>
                </c:pt>
                <c:pt idx="22">
                  <c:v>3.5098126452123188</c:v>
                </c:pt>
                <c:pt idx="23">
                  <c:v>3.7122063205197091</c:v>
                </c:pt>
                <c:pt idx="24">
                  <c:v>3.9147455415398</c:v>
                </c:pt>
                <c:pt idx="25">
                  <c:v>4.1171964764458062</c:v>
                </c:pt>
                <c:pt idx="26">
                  <c:v>4.3197569543339984</c:v>
                </c:pt>
                <c:pt idx="27">
                  <c:v>4.5223289994347082</c:v>
                </c:pt>
                <c:pt idx="28">
                  <c:v>4.6031000469704084</c:v>
                </c:pt>
                <c:pt idx="29">
                  <c:v>4.68406014333224</c:v>
                </c:pt>
                <c:pt idx="30">
                  <c:v>4.4407679916409073</c:v>
                </c:pt>
                <c:pt idx="31">
                  <c:v>4.0046207162110123</c:v>
                </c:pt>
                <c:pt idx="32">
                  <c:v>3.5654221325260678</c:v>
                </c:pt>
                <c:pt idx="33">
                  <c:v>3.1295276731382207</c:v>
                </c:pt>
                <c:pt idx="34">
                  <c:v>2.6954177897574123</c:v>
                </c:pt>
                <c:pt idx="35">
                  <c:v>2.2685841604213084</c:v>
                </c:pt>
                <c:pt idx="36">
                  <c:v>1.8440634098997088</c:v>
                </c:pt>
                <c:pt idx="37">
                  <c:v>1.4215686274509804</c:v>
                </c:pt>
                <c:pt idx="38">
                  <c:v>1.0051107325383304</c:v>
                </c:pt>
                <c:pt idx="39">
                  <c:v>0.59113300492610843</c:v>
                </c:pt>
                <c:pt idx="40">
                  <c:v>0.18236173393124067</c:v>
                </c:pt>
                <c:pt idx="41">
                  <c:v>0.12230012230012231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93D-4801-9E14-0F5A18EC9A5C}"/>
            </c:ext>
          </c:extLst>
        </c:ser>
        <c:ser>
          <c:idx val="1"/>
          <c:order val="1"/>
          <c:tx>
            <c:v>正U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Sheet1!$F$2:$F$43</c:f>
              <c:numCache>
                <c:formatCode>0.00_ </c:formatCode>
                <c:ptCount val="42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  <c:pt idx="10">
                  <c:v>2</c:v>
                </c:pt>
                <c:pt idx="11">
                  <c:v>2.2000000000000002</c:v>
                </c:pt>
                <c:pt idx="12">
                  <c:v>2.4</c:v>
                </c:pt>
                <c:pt idx="13">
                  <c:v>2.6</c:v>
                </c:pt>
                <c:pt idx="14">
                  <c:v>3.1</c:v>
                </c:pt>
                <c:pt idx="15">
                  <c:v>3.6</c:v>
                </c:pt>
                <c:pt idx="16">
                  <c:v>4.0999999999999996</c:v>
                </c:pt>
                <c:pt idx="17">
                  <c:v>4.5999999999999996</c:v>
                </c:pt>
                <c:pt idx="18">
                  <c:v>5.0999999999999996</c:v>
                </c:pt>
                <c:pt idx="19">
                  <c:v>5.6</c:v>
                </c:pt>
                <c:pt idx="20">
                  <c:v>6.1</c:v>
                </c:pt>
                <c:pt idx="21">
                  <c:v>6.6</c:v>
                </c:pt>
                <c:pt idx="22">
                  <c:v>7.1</c:v>
                </c:pt>
                <c:pt idx="23">
                  <c:v>7.6</c:v>
                </c:pt>
                <c:pt idx="24">
                  <c:v>8.1</c:v>
                </c:pt>
                <c:pt idx="25">
                  <c:v>8.6</c:v>
                </c:pt>
                <c:pt idx="26">
                  <c:v>9.1</c:v>
                </c:pt>
                <c:pt idx="27">
                  <c:v>9.6</c:v>
                </c:pt>
                <c:pt idx="28">
                  <c:v>9.8000000000000007</c:v>
                </c:pt>
                <c:pt idx="29">
                  <c:v>10</c:v>
                </c:pt>
                <c:pt idx="30">
                  <c:v>10.199999999999999</c:v>
                </c:pt>
                <c:pt idx="31">
                  <c:v>10.4</c:v>
                </c:pt>
                <c:pt idx="32">
                  <c:v>10.6</c:v>
                </c:pt>
                <c:pt idx="33">
                  <c:v>10.8</c:v>
                </c:pt>
                <c:pt idx="34">
                  <c:v>11</c:v>
                </c:pt>
                <c:pt idx="35">
                  <c:v>11.2</c:v>
                </c:pt>
                <c:pt idx="36">
                  <c:v>11.4</c:v>
                </c:pt>
                <c:pt idx="37">
                  <c:v>11.6</c:v>
                </c:pt>
                <c:pt idx="38">
                  <c:v>11.8</c:v>
                </c:pt>
                <c:pt idx="39">
                  <c:v>12</c:v>
                </c:pt>
                <c:pt idx="40">
                  <c:v>12.2</c:v>
                </c:pt>
                <c:pt idx="41">
                  <c:v>12.23</c:v>
                </c:pt>
              </c:numCache>
            </c:numRef>
          </c:xVal>
          <c:yVal>
            <c:numRef>
              <c:f>Sheet1!$G$2:$G$43</c:f>
              <c:numCache>
                <c:formatCode>0.000_ </c:formatCode>
                <c:ptCount val="42"/>
                <c:pt idx="0">
                  <c:v>0</c:v>
                </c:pt>
                <c:pt idx="1">
                  <c:v>-0.17167381974248927</c:v>
                </c:pt>
                <c:pt idx="2">
                  <c:v>-0.32284100080710249</c:v>
                </c:pt>
                <c:pt idx="3">
                  <c:v>-0.47404598246029861</c:v>
                </c:pt>
                <c:pt idx="4">
                  <c:v>-0.62519537355423571</c:v>
                </c:pt>
                <c:pt idx="5">
                  <c:v>-0.77633724089744593</c:v>
                </c:pt>
                <c:pt idx="6">
                  <c:v>-0.92750038645849442</c:v>
                </c:pt>
                <c:pt idx="7">
                  <c:v>-1.0786655366361044</c:v>
                </c:pt>
                <c:pt idx="8">
                  <c:v>-1.2297286911075245</c:v>
                </c:pt>
                <c:pt idx="9">
                  <c:v>-1.3677811550151975</c:v>
                </c:pt>
                <c:pt idx="10">
                  <c:v>-1.4471780028943559</c:v>
                </c:pt>
                <c:pt idx="11">
                  <c:v>-1.5272474835126693</c:v>
                </c:pt>
                <c:pt idx="12">
                  <c:v>-1.6071787316681176</c:v>
                </c:pt>
                <c:pt idx="13">
                  <c:v>-1.687654160716604</c:v>
                </c:pt>
                <c:pt idx="14">
                  <c:v>-1.8897829797610337</c:v>
                </c:pt>
                <c:pt idx="15">
                  <c:v>-2.0922933860281296</c:v>
                </c:pt>
                <c:pt idx="16">
                  <c:v>-2.2948617485727079</c:v>
                </c:pt>
                <c:pt idx="17">
                  <c:v>-2.4972855591748102</c:v>
                </c:pt>
                <c:pt idx="18">
                  <c:v>-2.6998411858125992</c:v>
                </c:pt>
                <c:pt idx="19">
                  <c:v>-2.9021558872305144</c:v>
                </c:pt>
                <c:pt idx="20">
                  <c:v>-3.1046416938110748</c:v>
                </c:pt>
                <c:pt idx="21">
                  <c:v>-3.3071102871173021</c:v>
                </c:pt>
                <c:pt idx="22">
                  <c:v>-3.5098126452123188</c:v>
                </c:pt>
                <c:pt idx="23">
                  <c:v>-3.7122063205197091</c:v>
                </c:pt>
                <c:pt idx="24">
                  <c:v>-3.9147455415398</c:v>
                </c:pt>
                <c:pt idx="25">
                  <c:v>-4.1171964764458062</c:v>
                </c:pt>
                <c:pt idx="26">
                  <c:v>-4.3197569543339984</c:v>
                </c:pt>
                <c:pt idx="27">
                  <c:v>-4.5223289994347082</c:v>
                </c:pt>
                <c:pt idx="28">
                  <c:v>-4.6031000469704084</c:v>
                </c:pt>
                <c:pt idx="29">
                  <c:v>-4.68406014333224</c:v>
                </c:pt>
                <c:pt idx="30">
                  <c:v>-4.4407679916409073</c:v>
                </c:pt>
                <c:pt idx="31">
                  <c:v>-4.0046207162110123</c:v>
                </c:pt>
                <c:pt idx="32">
                  <c:v>-3.5654221325260678</c:v>
                </c:pt>
                <c:pt idx="33">
                  <c:v>-3.1295276731382207</c:v>
                </c:pt>
                <c:pt idx="34">
                  <c:v>-2.6954177897574123</c:v>
                </c:pt>
                <c:pt idx="35">
                  <c:v>-2.2685841604213084</c:v>
                </c:pt>
                <c:pt idx="36">
                  <c:v>-1.8440634098997088</c:v>
                </c:pt>
                <c:pt idx="37">
                  <c:v>-1.4215686274509804</c:v>
                </c:pt>
                <c:pt idx="38">
                  <c:v>-1.0051107325383304</c:v>
                </c:pt>
                <c:pt idx="39">
                  <c:v>-0.59113300492610843</c:v>
                </c:pt>
                <c:pt idx="40">
                  <c:v>-0.18236173393124067</c:v>
                </c:pt>
                <c:pt idx="41">
                  <c:v>-0.12230012230012231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93D-4801-9E14-0F5A18EC9A5C}"/>
            </c:ext>
          </c:extLst>
        </c:ser>
        <c:ser>
          <c:idx val="2"/>
          <c:order val="2"/>
          <c:tx>
            <c:v>负U拟合1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3199290806100586"/>
                  <c:y val="-4.14341777565344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Sheet1!$B$2:$B$11</c:f>
              <c:numCache>
                <c:formatCode>0.00_ </c:formatCode>
                <c:ptCount val="10"/>
                <c:pt idx="0">
                  <c:v>0</c:v>
                </c:pt>
                <c:pt idx="1">
                  <c:v>-0.2</c:v>
                </c:pt>
                <c:pt idx="2">
                  <c:v>-0.4</c:v>
                </c:pt>
                <c:pt idx="3">
                  <c:v>-0.6</c:v>
                </c:pt>
                <c:pt idx="4">
                  <c:v>-0.8</c:v>
                </c:pt>
                <c:pt idx="5">
                  <c:v>-1</c:v>
                </c:pt>
                <c:pt idx="6">
                  <c:v>-1.2</c:v>
                </c:pt>
                <c:pt idx="7">
                  <c:v>-1.4</c:v>
                </c:pt>
                <c:pt idx="8">
                  <c:v>-1.6</c:v>
                </c:pt>
                <c:pt idx="9">
                  <c:v>-1.8</c:v>
                </c:pt>
              </c:numCache>
            </c:numRef>
          </c:xVal>
          <c:yVal>
            <c:numRef>
              <c:f>Sheet1!$C$2:$C$11</c:f>
              <c:numCache>
                <c:formatCode>0.000_ </c:formatCode>
                <c:ptCount val="10"/>
                <c:pt idx="0">
                  <c:v>0</c:v>
                </c:pt>
                <c:pt idx="1">
                  <c:v>0.17167381974248927</c:v>
                </c:pt>
                <c:pt idx="2">
                  <c:v>0.32284100080710249</c:v>
                </c:pt>
                <c:pt idx="3">
                  <c:v>0.47404598246029861</c:v>
                </c:pt>
                <c:pt idx="4">
                  <c:v>0.62519537355423571</c:v>
                </c:pt>
                <c:pt idx="5">
                  <c:v>0.77633724089744593</c:v>
                </c:pt>
                <c:pt idx="6">
                  <c:v>0.92750038645849442</c:v>
                </c:pt>
                <c:pt idx="7">
                  <c:v>1.0786655366361044</c:v>
                </c:pt>
                <c:pt idx="8">
                  <c:v>1.2297286911075245</c:v>
                </c:pt>
                <c:pt idx="9">
                  <c:v>1.3677811550151975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A93D-4801-9E14-0F5A18EC9A5C}"/>
            </c:ext>
          </c:extLst>
        </c:ser>
        <c:ser>
          <c:idx val="3"/>
          <c:order val="3"/>
          <c:tx>
            <c:v>负U拟合2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0101994531189067E-2"/>
                  <c:y val="-2.43553621292546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Sheet1!$B$12:$B$31</c:f>
              <c:numCache>
                <c:formatCode>0.00_ </c:formatCode>
                <c:ptCount val="20"/>
                <c:pt idx="0">
                  <c:v>-2</c:v>
                </c:pt>
                <c:pt idx="1">
                  <c:v>-2.2000000000000002</c:v>
                </c:pt>
                <c:pt idx="2">
                  <c:v>-2.4</c:v>
                </c:pt>
                <c:pt idx="3">
                  <c:v>-2.6</c:v>
                </c:pt>
                <c:pt idx="4">
                  <c:v>-3.1</c:v>
                </c:pt>
                <c:pt idx="5">
                  <c:v>-3.6</c:v>
                </c:pt>
                <c:pt idx="6">
                  <c:v>-4.0999999999999996</c:v>
                </c:pt>
                <c:pt idx="7">
                  <c:v>-4.5999999999999996</c:v>
                </c:pt>
                <c:pt idx="8">
                  <c:v>-5.0999999999999996</c:v>
                </c:pt>
                <c:pt idx="9">
                  <c:v>-5.6</c:v>
                </c:pt>
                <c:pt idx="10">
                  <c:v>-6.1</c:v>
                </c:pt>
                <c:pt idx="11">
                  <c:v>-6.6</c:v>
                </c:pt>
                <c:pt idx="12">
                  <c:v>-7.1</c:v>
                </c:pt>
                <c:pt idx="13">
                  <c:v>-7.6</c:v>
                </c:pt>
                <c:pt idx="14">
                  <c:v>-8.1</c:v>
                </c:pt>
                <c:pt idx="15">
                  <c:v>-8.6</c:v>
                </c:pt>
                <c:pt idx="16">
                  <c:v>-9.1</c:v>
                </c:pt>
                <c:pt idx="17">
                  <c:v>-9.6</c:v>
                </c:pt>
                <c:pt idx="18">
                  <c:v>-9.8000000000000007</c:v>
                </c:pt>
                <c:pt idx="19">
                  <c:v>-10</c:v>
                </c:pt>
              </c:numCache>
            </c:numRef>
          </c:xVal>
          <c:yVal>
            <c:numRef>
              <c:f>Sheet1!$C$12:$C$31</c:f>
              <c:numCache>
                <c:formatCode>0.000_ </c:formatCode>
                <c:ptCount val="20"/>
                <c:pt idx="0">
                  <c:v>1.4471780028943559</c:v>
                </c:pt>
                <c:pt idx="1">
                  <c:v>1.5272474835126693</c:v>
                </c:pt>
                <c:pt idx="2">
                  <c:v>1.6071787316681176</c:v>
                </c:pt>
                <c:pt idx="3">
                  <c:v>1.687654160716604</c:v>
                </c:pt>
                <c:pt idx="4">
                  <c:v>1.8897829797610337</c:v>
                </c:pt>
                <c:pt idx="5">
                  <c:v>2.0922933860281296</c:v>
                </c:pt>
                <c:pt idx="6">
                  <c:v>2.2948617485727079</c:v>
                </c:pt>
                <c:pt idx="7">
                  <c:v>2.4972855591748102</c:v>
                </c:pt>
                <c:pt idx="8">
                  <c:v>2.6998411858125992</c:v>
                </c:pt>
                <c:pt idx="9">
                  <c:v>2.9021558872305144</c:v>
                </c:pt>
                <c:pt idx="10">
                  <c:v>3.1046416938110748</c:v>
                </c:pt>
                <c:pt idx="11">
                  <c:v>3.3071102871173021</c:v>
                </c:pt>
                <c:pt idx="12">
                  <c:v>3.5098126452123188</c:v>
                </c:pt>
                <c:pt idx="13">
                  <c:v>3.7122063205197091</c:v>
                </c:pt>
                <c:pt idx="14">
                  <c:v>3.9147455415398</c:v>
                </c:pt>
                <c:pt idx="15">
                  <c:v>4.1171964764458062</c:v>
                </c:pt>
                <c:pt idx="16">
                  <c:v>4.3197569543339984</c:v>
                </c:pt>
                <c:pt idx="17">
                  <c:v>4.5223289994347082</c:v>
                </c:pt>
                <c:pt idx="18">
                  <c:v>4.6031000469704084</c:v>
                </c:pt>
                <c:pt idx="19">
                  <c:v>4.68406014333224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A93D-4801-9E14-0F5A18EC9A5C}"/>
            </c:ext>
          </c:extLst>
        </c:ser>
        <c:ser>
          <c:idx val="7"/>
          <c:order val="4"/>
          <c:tx>
            <c:v>负U拟合3</c:v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4013899878485774E-2"/>
                  <c:y val="0.11306910517974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Sheet1!$B$32:$B$43</c:f>
              <c:numCache>
                <c:formatCode>0.00_ </c:formatCode>
                <c:ptCount val="12"/>
                <c:pt idx="0">
                  <c:v>-10.199999999999999</c:v>
                </c:pt>
                <c:pt idx="1">
                  <c:v>-10.4</c:v>
                </c:pt>
                <c:pt idx="2">
                  <c:v>-10.6</c:v>
                </c:pt>
                <c:pt idx="3">
                  <c:v>-10.8</c:v>
                </c:pt>
                <c:pt idx="4">
                  <c:v>-11</c:v>
                </c:pt>
                <c:pt idx="5">
                  <c:v>-11.2</c:v>
                </c:pt>
                <c:pt idx="6">
                  <c:v>-11.4</c:v>
                </c:pt>
                <c:pt idx="7">
                  <c:v>-11.6</c:v>
                </c:pt>
                <c:pt idx="8">
                  <c:v>-11.8</c:v>
                </c:pt>
                <c:pt idx="9">
                  <c:v>-12</c:v>
                </c:pt>
                <c:pt idx="10">
                  <c:v>-12.2</c:v>
                </c:pt>
                <c:pt idx="11">
                  <c:v>-12.23</c:v>
                </c:pt>
              </c:numCache>
            </c:numRef>
          </c:xVal>
          <c:yVal>
            <c:numRef>
              <c:f>Sheet1!$C$32:$C$43</c:f>
              <c:numCache>
                <c:formatCode>0.000_ </c:formatCode>
                <c:ptCount val="12"/>
                <c:pt idx="0">
                  <c:v>4.4407679916409073</c:v>
                </c:pt>
                <c:pt idx="1">
                  <c:v>4.0046207162110123</c:v>
                </c:pt>
                <c:pt idx="2">
                  <c:v>3.5654221325260678</c:v>
                </c:pt>
                <c:pt idx="3">
                  <c:v>3.1295276731382207</c:v>
                </c:pt>
                <c:pt idx="4">
                  <c:v>2.6954177897574123</c:v>
                </c:pt>
                <c:pt idx="5">
                  <c:v>2.2685841604213084</c:v>
                </c:pt>
                <c:pt idx="6">
                  <c:v>1.8440634098997088</c:v>
                </c:pt>
                <c:pt idx="7">
                  <c:v>1.4215686274509804</c:v>
                </c:pt>
                <c:pt idx="8">
                  <c:v>1.0051107325383304</c:v>
                </c:pt>
                <c:pt idx="9">
                  <c:v>0.59113300492610843</c:v>
                </c:pt>
                <c:pt idx="10">
                  <c:v>0.18236173393124067</c:v>
                </c:pt>
                <c:pt idx="11">
                  <c:v>0.12230012230012231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A93D-4801-9E14-0F5A18EC9A5C}"/>
            </c:ext>
          </c:extLst>
        </c:ser>
        <c:ser>
          <c:idx val="4"/>
          <c:order val="5"/>
          <c:tx>
            <c:v>正U拟合1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Sheet1!$F$2:$F$11</c:f>
              <c:numCache>
                <c:formatCode>0.00_ </c:formatCode>
                <c:ptCount val="10"/>
                <c:pt idx="0">
                  <c:v>0</c:v>
                </c:pt>
                <c:pt idx="1">
                  <c:v>0.2</c:v>
                </c:pt>
                <c:pt idx="2">
                  <c:v>0.4</c:v>
                </c:pt>
                <c:pt idx="3">
                  <c:v>0.6</c:v>
                </c:pt>
                <c:pt idx="4">
                  <c:v>0.8</c:v>
                </c:pt>
                <c:pt idx="5">
                  <c:v>1</c:v>
                </c:pt>
                <c:pt idx="6">
                  <c:v>1.2</c:v>
                </c:pt>
                <c:pt idx="7">
                  <c:v>1.4</c:v>
                </c:pt>
                <c:pt idx="8">
                  <c:v>1.6</c:v>
                </c:pt>
                <c:pt idx="9">
                  <c:v>1.8</c:v>
                </c:pt>
              </c:numCache>
            </c:numRef>
          </c:xVal>
          <c:yVal>
            <c:numRef>
              <c:f>Sheet1!$G$2:$G$11</c:f>
              <c:numCache>
                <c:formatCode>0.000_ </c:formatCode>
                <c:ptCount val="10"/>
                <c:pt idx="0">
                  <c:v>0</c:v>
                </c:pt>
                <c:pt idx="1">
                  <c:v>-0.17167381974248927</c:v>
                </c:pt>
                <c:pt idx="2">
                  <c:v>-0.32284100080710249</c:v>
                </c:pt>
                <c:pt idx="3">
                  <c:v>-0.47404598246029861</c:v>
                </c:pt>
                <c:pt idx="4">
                  <c:v>-0.62519537355423571</c:v>
                </c:pt>
                <c:pt idx="5">
                  <c:v>-0.77633724089744593</c:v>
                </c:pt>
                <c:pt idx="6">
                  <c:v>-0.92750038645849442</c:v>
                </c:pt>
                <c:pt idx="7">
                  <c:v>-1.0786655366361044</c:v>
                </c:pt>
                <c:pt idx="8">
                  <c:v>-1.2297286911075245</c:v>
                </c:pt>
                <c:pt idx="9">
                  <c:v>-1.3677811550151975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A93D-4801-9E14-0F5A18EC9A5C}"/>
            </c:ext>
          </c:extLst>
        </c:ser>
        <c:ser>
          <c:idx val="5"/>
          <c:order val="6"/>
          <c:tx>
            <c:v>正U拟合2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1984018225026107E-2"/>
                  <c:y val="-0.1837900933309853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Sheet1!$F$12:$F$31</c:f>
              <c:numCache>
                <c:formatCode>0.00_ </c:formatCode>
                <c:ptCount val="20"/>
                <c:pt idx="0">
                  <c:v>2</c:v>
                </c:pt>
                <c:pt idx="1">
                  <c:v>2.2000000000000002</c:v>
                </c:pt>
                <c:pt idx="2">
                  <c:v>2.4</c:v>
                </c:pt>
                <c:pt idx="3">
                  <c:v>2.6</c:v>
                </c:pt>
                <c:pt idx="4">
                  <c:v>3.1</c:v>
                </c:pt>
                <c:pt idx="5">
                  <c:v>3.6</c:v>
                </c:pt>
                <c:pt idx="6">
                  <c:v>4.0999999999999996</c:v>
                </c:pt>
                <c:pt idx="7">
                  <c:v>4.5999999999999996</c:v>
                </c:pt>
                <c:pt idx="8">
                  <c:v>5.0999999999999996</c:v>
                </c:pt>
                <c:pt idx="9">
                  <c:v>5.6</c:v>
                </c:pt>
                <c:pt idx="10">
                  <c:v>6.1</c:v>
                </c:pt>
                <c:pt idx="11">
                  <c:v>6.6</c:v>
                </c:pt>
                <c:pt idx="12">
                  <c:v>7.1</c:v>
                </c:pt>
                <c:pt idx="13">
                  <c:v>7.6</c:v>
                </c:pt>
                <c:pt idx="14">
                  <c:v>8.1</c:v>
                </c:pt>
                <c:pt idx="15">
                  <c:v>8.6</c:v>
                </c:pt>
                <c:pt idx="16">
                  <c:v>9.1</c:v>
                </c:pt>
                <c:pt idx="17">
                  <c:v>9.6</c:v>
                </c:pt>
                <c:pt idx="18">
                  <c:v>9.8000000000000007</c:v>
                </c:pt>
                <c:pt idx="19">
                  <c:v>10</c:v>
                </c:pt>
              </c:numCache>
            </c:numRef>
          </c:xVal>
          <c:yVal>
            <c:numRef>
              <c:f>Sheet1!$G$12:$G$31</c:f>
              <c:numCache>
                <c:formatCode>0.000_ </c:formatCode>
                <c:ptCount val="20"/>
                <c:pt idx="0">
                  <c:v>-1.4471780028943559</c:v>
                </c:pt>
                <c:pt idx="1">
                  <c:v>-1.5272474835126693</c:v>
                </c:pt>
                <c:pt idx="2">
                  <c:v>-1.6071787316681176</c:v>
                </c:pt>
                <c:pt idx="3">
                  <c:v>-1.687654160716604</c:v>
                </c:pt>
                <c:pt idx="4">
                  <c:v>-1.8897829797610337</c:v>
                </c:pt>
                <c:pt idx="5">
                  <c:v>-2.0922933860281296</c:v>
                </c:pt>
                <c:pt idx="6">
                  <c:v>-2.2948617485727079</c:v>
                </c:pt>
                <c:pt idx="7">
                  <c:v>-2.4972855591748102</c:v>
                </c:pt>
                <c:pt idx="8">
                  <c:v>-2.6998411858125992</c:v>
                </c:pt>
                <c:pt idx="9">
                  <c:v>-2.9021558872305144</c:v>
                </c:pt>
                <c:pt idx="10">
                  <c:v>-3.1046416938110748</c:v>
                </c:pt>
                <c:pt idx="11">
                  <c:v>-3.3071102871173021</c:v>
                </c:pt>
                <c:pt idx="12">
                  <c:v>-3.5098126452123188</c:v>
                </c:pt>
                <c:pt idx="13">
                  <c:v>-3.7122063205197091</c:v>
                </c:pt>
                <c:pt idx="14">
                  <c:v>-3.9147455415398</c:v>
                </c:pt>
                <c:pt idx="15">
                  <c:v>-4.1171964764458062</c:v>
                </c:pt>
                <c:pt idx="16">
                  <c:v>-4.3197569543339984</c:v>
                </c:pt>
                <c:pt idx="17">
                  <c:v>-4.5223289994347082</c:v>
                </c:pt>
                <c:pt idx="18">
                  <c:v>-4.6031000469704084</c:v>
                </c:pt>
                <c:pt idx="19">
                  <c:v>-4.68406014333224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93D-4801-9E14-0F5A18EC9A5C}"/>
            </c:ext>
          </c:extLst>
        </c:ser>
        <c:ser>
          <c:idx val="6"/>
          <c:order val="7"/>
          <c:tx>
            <c:v>正U拟合3</c:v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034247618821311"/>
                  <c:y val="0.187810872682448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Times New Roman" panose="02020603050405020304" pitchFamily="18" charset="0"/>
                      <a:ea typeface="+mn-ea"/>
                      <a:cs typeface="Times New Roman" panose="02020603050405020304" pitchFamily="18" charset="0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Sheet1!$F$32:$F$43</c:f>
              <c:numCache>
                <c:formatCode>0.00_ </c:formatCode>
                <c:ptCount val="12"/>
                <c:pt idx="0">
                  <c:v>10.199999999999999</c:v>
                </c:pt>
                <c:pt idx="1">
                  <c:v>10.4</c:v>
                </c:pt>
                <c:pt idx="2">
                  <c:v>10.6</c:v>
                </c:pt>
                <c:pt idx="3">
                  <c:v>10.8</c:v>
                </c:pt>
                <c:pt idx="4">
                  <c:v>11</c:v>
                </c:pt>
                <c:pt idx="5">
                  <c:v>11.2</c:v>
                </c:pt>
                <c:pt idx="6">
                  <c:v>11.4</c:v>
                </c:pt>
                <c:pt idx="7">
                  <c:v>11.6</c:v>
                </c:pt>
                <c:pt idx="8">
                  <c:v>11.8</c:v>
                </c:pt>
                <c:pt idx="9">
                  <c:v>12</c:v>
                </c:pt>
                <c:pt idx="10">
                  <c:v>12.2</c:v>
                </c:pt>
                <c:pt idx="11">
                  <c:v>12.23</c:v>
                </c:pt>
              </c:numCache>
            </c:numRef>
          </c:xVal>
          <c:yVal>
            <c:numRef>
              <c:f>Sheet1!$G$32:$G$43</c:f>
              <c:numCache>
                <c:formatCode>0.000_ </c:formatCode>
                <c:ptCount val="12"/>
                <c:pt idx="0">
                  <c:v>-4.4407679916409073</c:v>
                </c:pt>
                <c:pt idx="1">
                  <c:v>-4.0046207162110123</c:v>
                </c:pt>
                <c:pt idx="2">
                  <c:v>-3.5654221325260678</c:v>
                </c:pt>
                <c:pt idx="3">
                  <c:v>-3.1295276731382207</c:v>
                </c:pt>
                <c:pt idx="4">
                  <c:v>-2.6954177897574123</c:v>
                </c:pt>
                <c:pt idx="5">
                  <c:v>-2.2685841604213084</c:v>
                </c:pt>
                <c:pt idx="6">
                  <c:v>-1.8440634098997088</c:v>
                </c:pt>
                <c:pt idx="7">
                  <c:v>-1.4215686274509804</c:v>
                </c:pt>
                <c:pt idx="8">
                  <c:v>-1.0051107325383304</c:v>
                </c:pt>
                <c:pt idx="9">
                  <c:v>-0.59113300492610843</c:v>
                </c:pt>
                <c:pt idx="10">
                  <c:v>-0.18236173393124067</c:v>
                </c:pt>
                <c:pt idx="11">
                  <c:v>-0.12230012230012231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A93D-4801-9E14-0F5A18EC9A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0079023"/>
        <c:axId val="1331976863"/>
      </c:scatterChart>
      <c:valAx>
        <c:axId val="1080079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i="1"/>
                  <a:t>U</a:t>
                </a:r>
                <a:r>
                  <a:rPr lang="en-US"/>
                  <a:t>/V</a:t>
                </a:r>
              </a:p>
            </c:rich>
          </c:tx>
          <c:layout>
            <c:manualLayout>
              <c:xMode val="edge"/>
              <c:yMode val="edge"/>
              <c:x val="0.94203897589724361"/>
              <c:y val="0.493601462522851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331976863"/>
        <c:crosses val="autoZero"/>
        <c:crossBetween val="midCat"/>
      </c:valAx>
      <c:valAx>
        <c:axId val="1331976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i="1"/>
                  <a:t>I</a:t>
                </a:r>
                <a:r>
                  <a:rPr lang="en-US"/>
                  <a:t>/mA</a:t>
                </a:r>
              </a:p>
            </c:rich>
          </c:tx>
          <c:layout>
            <c:manualLayout>
              <c:xMode val="edge"/>
              <c:yMode val="edge"/>
              <c:x val="0.50305250305250304"/>
              <c:y val="0.164137697663825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0.0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8007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94422</xdr:colOff>
      <xdr:row>7</xdr:row>
      <xdr:rowOff>112920</xdr:rowOff>
    </xdr:from>
    <xdr:to>
      <xdr:col>16</xdr:col>
      <xdr:colOff>11872</xdr:colOff>
      <xdr:row>30</xdr:row>
      <xdr:rowOff>24020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FA5973D-A3A2-7DF0-1322-37628F189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4D742-DEDC-45F6-B239-059C4C3E8E1F}">
  <dimension ref="A1:G99"/>
  <sheetViews>
    <sheetView tabSelected="1" topLeftCell="A5" zoomScaleNormal="100" workbookViewId="0">
      <selection activeCell="M36" sqref="M36"/>
    </sheetView>
  </sheetViews>
  <sheetFormatPr defaultRowHeight="14" x14ac:dyDescent="0.3"/>
  <cols>
    <col min="1" max="1" width="8.6640625" style="1"/>
    <col min="2" max="2" width="8.6640625" style="3"/>
    <col min="3" max="3" width="8.6640625" style="2"/>
    <col min="6" max="6" width="8.6640625" style="4"/>
  </cols>
  <sheetData>
    <row r="1" spans="1:7" x14ac:dyDescent="0.3">
      <c r="A1" s="5" t="s">
        <v>2</v>
      </c>
      <c r="B1" s="6" t="s">
        <v>1</v>
      </c>
      <c r="C1" s="7" t="s">
        <v>0</v>
      </c>
      <c r="E1" s="5" t="s">
        <v>2</v>
      </c>
      <c r="F1" s="6" t="s">
        <v>1</v>
      </c>
      <c r="G1" s="7" t="s">
        <v>0</v>
      </c>
    </row>
    <row r="2" spans="1:7" x14ac:dyDescent="0.3">
      <c r="A2" s="5">
        <f>-A58</f>
        <v>-123</v>
      </c>
      <c r="B2" s="6">
        <f>-F2</f>
        <v>0</v>
      </c>
      <c r="C2" s="7">
        <f>B2*1000/A2</f>
        <v>0</v>
      </c>
      <c r="E2" s="5">
        <f>-A58</f>
        <v>-123</v>
      </c>
      <c r="F2" s="6">
        <v>0</v>
      </c>
      <c r="G2" s="7">
        <f>F2*1000/E2</f>
        <v>0</v>
      </c>
    </row>
    <row r="3" spans="1:7" x14ac:dyDescent="0.3">
      <c r="A3" s="5">
        <f t="shared" ref="A3:A43" si="0">-A59</f>
        <v>-1165</v>
      </c>
      <c r="B3" s="6">
        <f t="shared" ref="B3:B43" si="1">-F3</f>
        <v>-0.2</v>
      </c>
      <c r="C3" s="7">
        <f t="shared" ref="C3:C43" si="2">B3*1000/A3</f>
        <v>0.17167381974248927</v>
      </c>
      <c r="E3" s="5">
        <f t="shared" ref="E3:E43" si="3">-A59</f>
        <v>-1165</v>
      </c>
      <c r="F3" s="6">
        <v>0.2</v>
      </c>
      <c r="G3" s="7">
        <f t="shared" ref="G3:G43" si="4">F3*1000/E3</f>
        <v>-0.17167381974248927</v>
      </c>
    </row>
    <row r="4" spans="1:7" x14ac:dyDescent="0.3">
      <c r="A4" s="5">
        <f t="shared" si="0"/>
        <v>-1239</v>
      </c>
      <c r="B4" s="6">
        <f t="shared" si="1"/>
        <v>-0.4</v>
      </c>
      <c r="C4" s="7">
        <f t="shared" si="2"/>
        <v>0.32284100080710249</v>
      </c>
      <c r="E4" s="5">
        <f t="shared" si="3"/>
        <v>-1239</v>
      </c>
      <c r="F4" s="6">
        <v>0.4</v>
      </c>
      <c r="G4" s="7">
        <f t="shared" si="4"/>
        <v>-0.32284100080710249</v>
      </c>
    </row>
    <row r="5" spans="1:7" x14ac:dyDescent="0.3">
      <c r="A5" s="5">
        <f t="shared" si="0"/>
        <v>-1265.7</v>
      </c>
      <c r="B5" s="6">
        <f t="shared" si="1"/>
        <v>-0.6</v>
      </c>
      <c r="C5" s="7">
        <f t="shared" si="2"/>
        <v>0.47404598246029861</v>
      </c>
      <c r="E5" s="5">
        <f t="shared" si="3"/>
        <v>-1265.7</v>
      </c>
      <c r="F5" s="6">
        <v>0.6</v>
      </c>
      <c r="G5" s="7">
        <f t="shared" si="4"/>
        <v>-0.47404598246029861</v>
      </c>
    </row>
    <row r="6" spans="1:7" x14ac:dyDescent="0.3">
      <c r="A6" s="5">
        <f t="shared" si="0"/>
        <v>-1279.5999999999999</v>
      </c>
      <c r="B6" s="6">
        <f t="shared" si="1"/>
        <v>-0.8</v>
      </c>
      <c r="C6" s="7">
        <f t="shared" si="2"/>
        <v>0.62519537355423571</v>
      </c>
      <c r="E6" s="5">
        <f t="shared" si="3"/>
        <v>-1279.5999999999999</v>
      </c>
      <c r="F6" s="6">
        <v>0.8</v>
      </c>
      <c r="G6" s="7">
        <f t="shared" si="4"/>
        <v>-0.62519537355423571</v>
      </c>
    </row>
    <row r="7" spans="1:7" x14ac:dyDescent="0.3">
      <c r="A7" s="5">
        <f t="shared" si="0"/>
        <v>-1288.0999999999999</v>
      </c>
      <c r="B7" s="6">
        <f t="shared" si="1"/>
        <v>-1</v>
      </c>
      <c r="C7" s="7">
        <f t="shared" si="2"/>
        <v>0.77633724089744593</v>
      </c>
      <c r="E7" s="5">
        <f t="shared" si="3"/>
        <v>-1288.0999999999999</v>
      </c>
      <c r="F7" s="6">
        <v>1</v>
      </c>
      <c r="G7" s="7">
        <f t="shared" si="4"/>
        <v>-0.77633724089744593</v>
      </c>
    </row>
    <row r="8" spans="1:7" x14ac:dyDescent="0.3">
      <c r="A8" s="5">
        <f t="shared" si="0"/>
        <v>-1293.8</v>
      </c>
      <c r="B8" s="6">
        <f t="shared" si="1"/>
        <v>-1.2</v>
      </c>
      <c r="C8" s="7">
        <f t="shared" si="2"/>
        <v>0.92750038645849442</v>
      </c>
      <c r="E8" s="5">
        <f t="shared" si="3"/>
        <v>-1293.8</v>
      </c>
      <c r="F8" s="6">
        <v>1.2</v>
      </c>
      <c r="G8" s="7">
        <f t="shared" si="4"/>
        <v>-0.92750038645849442</v>
      </c>
    </row>
    <row r="9" spans="1:7" x14ac:dyDescent="0.3">
      <c r="A9" s="5">
        <f t="shared" si="0"/>
        <v>-1297.9000000000001</v>
      </c>
      <c r="B9" s="6">
        <f t="shared" si="1"/>
        <v>-1.4</v>
      </c>
      <c r="C9" s="7">
        <f t="shared" si="2"/>
        <v>1.0786655366361044</v>
      </c>
      <c r="E9" s="5">
        <f t="shared" si="3"/>
        <v>-1297.9000000000001</v>
      </c>
      <c r="F9" s="6">
        <v>1.4</v>
      </c>
      <c r="G9" s="7">
        <f t="shared" si="4"/>
        <v>-1.0786655366361044</v>
      </c>
    </row>
    <row r="10" spans="1:7" x14ac:dyDescent="0.3">
      <c r="A10" s="5">
        <f t="shared" si="0"/>
        <v>-1301.0999999999999</v>
      </c>
      <c r="B10" s="6">
        <f t="shared" si="1"/>
        <v>-1.6</v>
      </c>
      <c r="C10" s="7">
        <f t="shared" si="2"/>
        <v>1.2297286911075245</v>
      </c>
      <c r="E10" s="5">
        <f t="shared" si="3"/>
        <v>-1301.0999999999999</v>
      </c>
      <c r="F10" s="6">
        <v>1.6</v>
      </c>
      <c r="G10" s="7">
        <f t="shared" si="4"/>
        <v>-1.2297286911075245</v>
      </c>
    </row>
    <row r="11" spans="1:7" x14ac:dyDescent="0.3">
      <c r="A11" s="5">
        <f t="shared" si="0"/>
        <v>-1316</v>
      </c>
      <c r="B11" s="6">
        <f t="shared" si="1"/>
        <v>-1.8</v>
      </c>
      <c r="C11" s="7">
        <f t="shared" si="2"/>
        <v>1.3677811550151975</v>
      </c>
      <c r="E11" s="5">
        <f t="shared" si="3"/>
        <v>-1316</v>
      </c>
      <c r="F11" s="6">
        <v>1.8</v>
      </c>
      <c r="G11" s="7">
        <f t="shared" si="4"/>
        <v>-1.3677811550151975</v>
      </c>
    </row>
    <row r="12" spans="1:7" x14ac:dyDescent="0.3">
      <c r="A12" s="5">
        <f t="shared" si="0"/>
        <v>-1382</v>
      </c>
      <c r="B12" s="6">
        <f t="shared" si="1"/>
        <v>-2</v>
      </c>
      <c r="C12" s="7">
        <f t="shared" si="2"/>
        <v>1.4471780028943559</v>
      </c>
      <c r="E12" s="5">
        <f t="shared" si="3"/>
        <v>-1382</v>
      </c>
      <c r="F12" s="6">
        <v>2</v>
      </c>
      <c r="G12" s="7">
        <f t="shared" si="4"/>
        <v>-1.4471780028943559</v>
      </c>
    </row>
    <row r="13" spans="1:7" x14ac:dyDescent="0.3">
      <c r="A13" s="5">
        <f t="shared" si="0"/>
        <v>-1440.5</v>
      </c>
      <c r="B13" s="6">
        <f t="shared" si="1"/>
        <v>-2.2000000000000002</v>
      </c>
      <c r="C13" s="7">
        <f t="shared" si="2"/>
        <v>1.5272474835126693</v>
      </c>
      <c r="E13" s="5">
        <f t="shared" si="3"/>
        <v>-1440.5</v>
      </c>
      <c r="F13" s="6">
        <v>2.2000000000000002</v>
      </c>
      <c r="G13" s="7">
        <f t="shared" si="4"/>
        <v>-1.5272474835126693</v>
      </c>
    </row>
    <row r="14" spans="1:7" x14ac:dyDescent="0.3">
      <c r="A14" s="5">
        <f t="shared" si="0"/>
        <v>-1493.3</v>
      </c>
      <c r="B14" s="6">
        <f t="shared" si="1"/>
        <v>-2.4</v>
      </c>
      <c r="C14" s="7">
        <f t="shared" si="2"/>
        <v>1.6071787316681176</v>
      </c>
      <c r="E14" s="5">
        <f t="shared" si="3"/>
        <v>-1493.3</v>
      </c>
      <c r="F14" s="6">
        <v>2.4</v>
      </c>
      <c r="G14" s="7">
        <f t="shared" si="4"/>
        <v>-1.6071787316681176</v>
      </c>
    </row>
    <row r="15" spans="1:7" x14ac:dyDescent="0.3">
      <c r="A15" s="5">
        <f t="shared" si="0"/>
        <v>-1540.6</v>
      </c>
      <c r="B15" s="6">
        <f t="shared" si="1"/>
        <v>-2.6</v>
      </c>
      <c r="C15" s="7">
        <f t="shared" si="2"/>
        <v>1.687654160716604</v>
      </c>
      <c r="E15" s="5">
        <f t="shared" si="3"/>
        <v>-1540.6</v>
      </c>
      <c r="F15" s="6">
        <v>2.6</v>
      </c>
      <c r="G15" s="7">
        <f t="shared" si="4"/>
        <v>-1.687654160716604</v>
      </c>
    </row>
    <row r="16" spans="1:7" x14ac:dyDescent="0.3">
      <c r="A16" s="5">
        <f t="shared" si="0"/>
        <v>-1640.4</v>
      </c>
      <c r="B16" s="6">
        <f t="shared" si="1"/>
        <v>-3.1</v>
      </c>
      <c r="C16" s="7">
        <f t="shared" si="2"/>
        <v>1.8897829797610337</v>
      </c>
      <c r="E16" s="5">
        <f t="shared" si="3"/>
        <v>-1640.4</v>
      </c>
      <c r="F16" s="6">
        <v>3.1</v>
      </c>
      <c r="G16" s="7">
        <f t="shared" si="4"/>
        <v>-1.8897829797610337</v>
      </c>
    </row>
    <row r="17" spans="1:7" x14ac:dyDescent="0.3">
      <c r="A17" s="5">
        <f t="shared" si="0"/>
        <v>-1720.6</v>
      </c>
      <c r="B17" s="6">
        <f t="shared" si="1"/>
        <v>-3.6</v>
      </c>
      <c r="C17" s="7">
        <f t="shared" si="2"/>
        <v>2.0922933860281296</v>
      </c>
      <c r="E17" s="5">
        <f t="shared" si="3"/>
        <v>-1720.6</v>
      </c>
      <c r="F17" s="6">
        <v>3.6</v>
      </c>
      <c r="G17" s="7">
        <f t="shared" si="4"/>
        <v>-2.0922933860281296</v>
      </c>
    </row>
    <row r="18" spans="1:7" x14ac:dyDescent="0.3">
      <c r="A18" s="5">
        <f t="shared" si="0"/>
        <v>-1786.6</v>
      </c>
      <c r="B18" s="6">
        <f t="shared" si="1"/>
        <v>-4.0999999999999996</v>
      </c>
      <c r="C18" s="7">
        <f t="shared" si="2"/>
        <v>2.2948617485727079</v>
      </c>
      <c r="E18" s="5">
        <f t="shared" si="3"/>
        <v>-1786.6</v>
      </c>
      <c r="F18" s="6">
        <v>4.0999999999999996</v>
      </c>
      <c r="G18" s="7">
        <f t="shared" si="4"/>
        <v>-2.2948617485727079</v>
      </c>
    </row>
    <row r="19" spans="1:7" x14ac:dyDescent="0.3">
      <c r="A19" s="5">
        <f t="shared" si="0"/>
        <v>-1842</v>
      </c>
      <c r="B19" s="6">
        <f t="shared" si="1"/>
        <v>-4.5999999999999996</v>
      </c>
      <c r="C19" s="7">
        <f t="shared" si="2"/>
        <v>2.4972855591748102</v>
      </c>
      <c r="E19" s="5">
        <f t="shared" si="3"/>
        <v>-1842</v>
      </c>
      <c r="F19" s="6">
        <v>4.5999999999999996</v>
      </c>
      <c r="G19" s="7">
        <f t="shared" si="4"/>
        <v>-2.4972855591748102</v>
      </c>
    </row>
    <row r="20" spans="1:7" x14ac:dyDescent="0.3">
      <c r="A20" s="5">
        <f t="shared" si="0"/>
        <v>-1889</v>
      </c>
      <c r="B20" s="6">
        <f t="shared" si="1"/>
        <v>-5.0999999999999996</v>
      </c>
      <c r="C20" s="7">
        <f t="shared" si="2"/>
        <v>2.6998411858125992</v>
      </c>
      <c r="E20" s="5">
        <f t="shared" si="3"/>
        <v>-1889</v>
      </c>
      <c r="F20" s="6">
        <v>5.0999999999999996</v>
      </c>
      <c r="G20" s="7">
        <f t="shared" si="4"/>
        <v>-2.6998411858125992</v>
      </c>
    </row>
    <row r="21" spans="1:7" x14ac:dyDescent="0.3">
      <c r="A21" s="5">
        <f t="shared" si="0"/>
        <v>-1929.6</v>
      </c>
      <c r="B21" s="6">
        <f t="shared" si="1"/>
        <v>-5.6</v>
      </c>
      <c r="C21" s="7">
        <f t="shared" si="2"/>
        <v>2.9021558872305144</v>
      </c>
      <c r="E21" s="5">
        <f t="shared" si="3"/>
        <v>-1929.6</v>
      </c>
      <c r="F21" s="6">
        <v>5.6</v>
      </c>
      <c r="G21" s="7">
        <f t="shared" si="4"/>
        <v>-2.9021558872305144</v>
      </c>
    </row>
    <row r="22" spans="1:7" x14ac:dyDescent="0.3">
      <c r="A22" s="5">
        <f t="shared" si="0"/>
        <v>-1964.8</v>
      </c>
      <c r="B22" s="6">
        <f t="shared" si="1"/>
        <v>-6.1</v>
      </c>
      <c r="C22" s="7">
        <f t="shared" si="2"/>
        <v>3.1046416938110748</v>
      </c>
      <c r="E22" s="5">
        <f t="shared" si="3"/>
        <v>-1964.8</v>
      </c>
      <c r="F22" s="6">
        <v>6.1</v>
      </c>
      <c r="G22" s="7">
        <f t="shared" si="4"/>
        <v>-3.1046416938110748</v>
      </c>
    </row>
    <row r="23" spans="1:7" x14ac:dyDescent="0.3">
      <c r="A23" s="5">
        <f t="shared" si="0"/>
        <v>-1995.7</v>
      </c>
      <c r="B23" s="6">
        <f t="shared" si="1"/>
        <v>-6.6</v>
      </c>
      <c r="C23" s="7">
        <f t="shared" si="2"/>
        <v>3.3071102871173021</v>
      </c>
      <c r="E23" s="5">
        <f t="shared" si="3"/>
        <v>-1995.7</v>
      </c>
      <c r="F23" s="6">
        <v>6.6</v>
      </c>
      <c r="G23" s="7">
        <f t="shared" si="4"/>
        <v>-3.3071102871173021</v>
      </c>
    </row>
    <row r="24" spans="1:7" x14ac:dyDescent="0.3">
      <c r="A24" s="5">
        <f t="shared" si="0"/>
        <v>-2022.9</v>
      </c>
      <c r="B24" s="6">
        <f t="shared" si="1"/>
        <v>-7.1</v>
      </c>
      <c r="C24" s="7">
        <f t="shared" si="2"/>
        <v>3.5098126452123188</v>
      </c>
      <c r="E24" s="5">
        <f t="shared" si="3"/>
        <v>-2022.9</v>
      </c>
      <c r="F24" s="6">
        <v>7.1</v>
      </c>
      <c r="G24" s="7">
        <f t="shared" si="4"/>
        <v>-3.5098126452123188</v>
      </c>
    </row>
    <row r="25" spans="1:7" x14ac:dyDescent="0.3">
      <c r="A25" s="5">
        <f t="shared" si="0"/>
        <v>-2047.3</v>
      </c>
      <c r="B25" s="6">
        <f t="shared" si="1"/>
        <v>-7.6</v>
      </c>
      <c r="C25" s="7">
        <f t="shared" si="2"/>
        <v>3.7122063205197091</v>
      </c>
      <c r="E25" s="5">
        <f t="shared" si="3"/>
        <v>-2047.3</v>
      </c>
      <c r="F25" s="6">
        <v>7.6</v>
      </c>
      <c r="G25" s="7">
        <f t="shared" si="4"/>
        <v>-3.7122063205197091</v>
      </c>
    </row>
    <row r="26" spans="1:7" x14ac:dyDescent="0.3">
      <c r="A26" s="5">
        <f t="shared" si="0"/>
        <v>-2069.1</v>
      </c>
      <c r="B26" s="6">
        <f t="shared" si="1"/>
        <v>-8.1</v>
      </c>
      <c r="C26" s="7">
        <f t="shared" si="2"/>
        <v>3.9147455415398</v>
      </c>
      <c r="E26" s="5">
        <f t="shared" si="3"/>
        <v>-2069.1</v>
      </c>
      <c r="F26" s="6">
        <v>8.1</v>
      </c>
      <c r="G26" s="7">
        <f t="shared" si="4"/>
        <v>-3.9147455415398</v>
      </c>
    </row>
    <row r="27" spans="1:7" x14ac:dyDescent="0.3">
      <c r="A27" s="5">
        <f t="shared" si="0"/>
        <v>-2088.8000000000002</v>
      </c>
      <c r="B27" s="6">
        <f t="shared" si="1"/>
        <v>-8.6</v>
      </c>
      <c r="C27" s="7">
        <f t="shared" si="2"/>
        <v>4.1171964764458062</v>
      </c>
      <c r="E27" s="5">
        <f t="shared" si="3"/>
        <v>-2088.8000000000002</v>
      </c>
      <c r="F27" s="6">
        <v>8.6</v>
      </c>
      <c r="G27" s="7">
        <f t="shared" si="4"/>
        <v>-4.1171964764458062</v>
      </c>
    </row>
    <row r="28" spans="1:7" x14ac:dyDescent="0.3">
      <c r="A28" s="5">
        <f t="shared" si="0"/>
        <v>-2106.6</v>
      </c>
      <c r="B28" s="6">
        <f t="shared" si="1"/>
        <v>-9.1</v>
      </c>
      <c r="C28" s="7">
        <f t="shared" si="2"/>
        <v>4.3197569543339984</v>
      </c>
      <c r="E28" s="5">
        <f t="shared" si="3"/>
        <v>-2106.6</v>
      </c>
      <c r="F28" s="6">
        <v>9.1</v>
      </c>
      <c r="G28" s="7">
        <f t="shared" si="4"/>
        <v>-4.3197569543339984</v>
      </c>
    </row>
    <row r="29" spans="1:7" x14ac:dyDescent="0.3">
      <c r="A29" s="5">
        <f t="shared" si="0"/>
        <v>-2122.8000000000002</v>
      </c>
      <c r="B29" s="6">
        <f t="shared" si="1"/>
        <v>-9.6</v>
      </c>
      <c r="C29" s="7">
        <f t="shared" si="2"/>
        <v>4.5223289994347082</v>
      </c>
      <c r="E29" s="5">
        <f t="shared" si="3"/>
        <v>-2122.8000000000002</v>
      </c>
      <c r="F29" s="6">
        <v>9.6</v>
      </c>
      <c r="G29" s="7">
        <f t="shared" si="4"/>
        <v>-4.5223289994347082</v>
      </c>
    </row>
    <row r="30" spans="1:7" x14ac:dyDescent="0.3">
      <c r="A30" s="5">
        <f t="shared" si="0"/>
        <v>-2129</v>
      </c>
      <c r="B30" s="6">
        <f t="shared" si="1"/>
        <v>-9.8000000000000007</v>
      </c>
      <c r="C30" s="7">
        <f t="shared" si="2"/>
        <v>4.6031000469704084</v>
      </c>
      <c r="E30" s="5">
        <f t="shared" si="3"/>
        <v>-2129</v>
      </c>
      <c r="F30" s="6">
        <v>9.8000000000000007</v>
      </c>
      <c r="G30" s="7">
        <f t="shared" si="4"/>
        <v>-4.6031000469704084</v>
      </c>
    </row>
    <row r="31" spans="1:7" x14ac:dyDescent="0.3">
      <c r="A31" s="5">
        <f t="shared" si="0"/>
        <v>-2134.9</v>
      </c>
      <c r="B31" s="6">
        <f t="shared" si="1"/>
        <v>-10</v>
      </c>
      <c r="C31" s="7">
        <f t="shared" si="2"/>
        <v>4.68406014333224</v>
      </c>
      <c r="E31" s="5">
        <f t="shared" si="3"/>
        <v>-2134.9</v>
      </c>
      <c r="F31" s="6">
        <v>10</v>
      </c>
      <c r="G31" s="7">
        <f t="shared" si="4"/>
        <v>-4.68406014333224</v>
      </c>
    </row>
    <row r="32" spans="1:7" x14ac:dyDescent="0.3">
      <c r="A32" s="5">
        <f t="shared" si="0"/>
        <v>-2296.9</v>
      </c>
      <c r="B32" s="6">
        <f t="shared" si="1"/>
        <v>-10.199999999999999</v>
      </c>
      <c r="C32" s="7">
        <f t="shared" si="2"/>
        <v>4.4407679916409073</v>
      </c>
      <c r="E32" s="5">
        <f t="shared" si="3"/>
        <v>-2296.9</v>
      </c>
      <c r="F32" s="6">
        <v>10.199999999999999</v>
      </c>
      <c r="G32" s="7">
        <f t="shared" si="4"/>
        <v>-4.4407679916409073</v>
      </c>
    </row>
    <row r="33" spans="1:7" x14ac:dyDescent="0.3">
      <c r="A33" s="5">
        <f t="shared" si="0"/>
        <v>-2597</v>
      </c>
      <c r="B33" s="6">
        <f t="shared" si="1"/>
        <v>-10.4</v>
      </c>
      <c r="C33" s="7">
        <f t="shared" si="2"/>
        <v>4.0046207162110123</v>
      </c>
      <c r="E33" s="5">
        <f t="shared" si="3"/>
        <v>-2597</v>
      </c>
      <c r="F33" s="6">
        <v>10.4</v>
      </c>
      <c r="G33" s="7">
        <f t="shared" si="4"/>
        <v>-4.0046207162110123</v>
      </c>
    </row>
    <row r="34" spans="1:7" x14ac:dyDescent="0.3">
      <c r="A34" s="5">
        <f t="shared" si="0"/>
        <v>-2973</v>
      </c>
      <c r="B34" s="6">
        <f t="shared" si="1"/>
        <v>-10.6</v>
      </c>
      <c r="C34" s="7">
        <f t="shared" si="2"/>
        <v>3.5654221325260678</v>
      </c>
      <c r="E34" s="5">
        <f t="shared" si="3"/>
        <v>-2973</v>
      </c>
      <c r="F34" s="6">
        <v>10.6</v>
      </c>
      <c r="G34" s="7">
        <f t="shared" si="4"/>
        <v>-3.5654221325260678</v>
      </c>
    </row>
    <row r="35" spans="1:7" x14ac:dyDescent="0.3">
      <c r="A35" s="5">
        <f t="shared" si="0"/>
        <v>-3451</v>
      </c>
      <c r="B35" s="6">
        <f t="shared" si="1"/>
        <v>-10.8</v>
      </c>
      <c r="C35" s="7">
        <f t="shared" si="2"/>
        <v>3.1295276731382207</v>
      </c>
      <c r="E35" s="5">
        <f t="shared" si="3"/>
        <v>-3451</v>
      </c>
      <c r="F35" s="6">
        <v>10.8</v>
      </c>
      <c r="G35" s="7">
        <f t="shared" si="4"/>
        <v>-3.1295276731382207</v>
      </c>
    </row>
    <row r="36" spans="1:7" x14ac:dyDescent="0.3">
      <c r="A36" s="5">
        <f t="shared" si="0"/>
        <v>-4081</v>
      </c>
      <c r="B36" s="6">
        <f t="shared" si="1"/>
        <v>-11</v>
      </c>
      <c r="C36" s="7">
        <f t="shared" si="2"/>
        <v>2.6954177897574123</v>
      </c>
      <c r="E36" s="5">
        <f t="shared" si="3"/>
        <v>-4081</v>
      </c>
      <c r="F36" s="6">
        <v>11</v>
      </c>
      <c r="G36" s="7">
        <f t="shared" si="4"/>
        <v>-2.6954177897574123</v>
      </c>
    </row>
    <row r="37" spans="1:7" x14ac:dyDescent="0.3">
      <c r="A37" s="5">
        <f t="shared" si="0"/>
        <v>-4937</v>
      </c>
      <c r="B37" s="6">
        <f t="shared" si="1"/>
        <v>-11.2</v>
      </c>
      <c r="C37" s="7">
        <f t="shared" si="2"/>
        <v>2.2685841604213084</v>
      </c>
      <c r="E37" s="5">
        <f t="shared" si="3"/>
        <v>-4937</v>
      </c>
      <c r="F37" s="6">
        <v>11.2</v>
      </c>
      <c r="G37" s="7">
        <f t="shared" si="4"/>
        <v>-2.2685841604213084</v>
      </c>
    </row>
    <row r="38" spans="1:7" x14ac:dyDescent="0.3">
      <c r="A38" s="5">
        <f t="shared" si="0"/>
        <v>-6182</v>
      </c>
      <c r="B38" s="6">
        <f t="shared" si="1"/>
        <v>-11.4</v>
      </c>
      <c r="C38" s="7">
        <f t="shared" si="2"/>
        <v>1.8440634098997088</v>
      </c>
      <c r="E38" s="5">
        <f t="shared" si="3"/>
        <v>-6182</v>
      </c>
      <c r="F38" s="6">
        <v>11.4</v>
      </c>
      <c r="G38" s="7">
        <f t="shared" si="4"/>
        <v>-1.8440634098997088</v>
      </c>
    </row>
    <row r="39" spans="1:7" x14ac:dyDescent="0.3">
      <c r="A39" s="5">
        <f t="shared" si="0"/>
        <v>-8160</v>
      </c>
      <c r="B39" s="6">
        <f t="shared" si="1"/>
        <v>-11.6</v>
      </c>
      <c r="C39" s="7">
        <f t="shared" si="2"/>
        <v>1.4215686274509804</v>
      </c>
      <c r="E39" s="5">
        <f t="shared" si="3"/>
        <v>-8160</v>
      </c>
      <c r="F39" s="6">
        <v>11.6</v>
      </c>
      <c r="G39" s="7">
        <f t="shared" si="4"/>
        <v>-1.4215686274509804</v>
      </c>
    </row>
    <row r="40" spans="1:7" x14ac:dyDescent="0.3">
      <c r="A40" s="5">
        <f t="shared" si="0"/>
        <v>-11740</v>
      </c>
      <c r="B40" s="6">
        <f t="shared" si="1"/>
        <v>-11.8</v>
      </c>
      <c r="C40" s="7">
        <f t="shared" si="2"/>
        <v>1.0051107325383304</v>
      </c>
      <c r="E40" s="5">
        <f t="shared" si="3"/>
        <v>-11740</v>
      </c>
      <c r="F40" s="6">
        <v>11.8</v>
      </c>
      <c r="G40" s="7">
        <f t="shared" si="4"/>
        <v>-1.0051107325383304</v>
      </c>
    </row>
    <row r="41" spans="1:7" x14ac:dyDescent="0.3">
      <c r="A41" s="5">
        <f t="shared" si="0"/>
        <v>-20300</v>
      </c>
      <c r="B41" s="6">
        <f t="shared" si="1"/>
        <v>-12</v>
      </c>
      <c r="C41" s="7">
        <f t="shared" si="2"/>
        <v>0.59113300492610843</v>
      </c>
      <c r="E41" s="5">
        <f t="shared" si="3"/>
        <v>-20300</v>
      </c>
      <c r="F41" s="6">
        <v>12</v>
      </c>
      <c r="G41" s="7">
        <f t="shared" si="4"/>
        <v>-0.59113300492610843</v>
      </c>
    </row>
    <row r="42" spans="1:7" x14ac:dyDescent="0.3">
      <c r="A42" s="5">
        <f t="shared" si="0"/>
        <v>-66900</v>
      </c>
      <c r="B42" s="6">
        <f t="shared" si="1"/>
        <v>-12.2</v>
      </c>
      <c r="C42" s="7">
        <f t="shared" si="2"/>
        <v>0.18236173393124067</v>
      </c>
      <c r="E42" s="5">
        <f t="shared" si="3"/>
        <v>-66900</v>
      </c>
      <c r="F42" s="6">
        <v>12.2</v>
      </c>
      <c r="G42" s="7">
        <f t="shared" si="4"/>
        <v>-0.18236173393124067</v>
      </c>
    </row>
    <row r="43" spans="1:7" x14ac:dyDescent="0.3">
      <c r="A43" s="5">
        <f t="shared" si="0"/>
        <v>-99999.9</v>
      </c>
      <c r="B43" s="6">
        <f t="shared" si="1"/>
        <v>-12.23</v>
      </c>
      <c r="C43" s="7">
        <f t="shared" si="2"/>
        <v>0.12230012230012231</v>
      </c>
      <c r="E43" s="5">
        <f t="shared" si="3"/>
        <v>-99999.9</v>
      </c>
      <c r="F43" s="6">
        <v>12.23</v>
      </c>
      <c r="G43" s="7">
        <f t="shared" si="4"/>
        <v>-0.12230012230012231</v>
      </c>
    </row>
    <row r="58" spans="1:7" x14ac:dyDescent="0.3">
      <c r="A58" s="1">
        <v>123</v>
      </c>
    </row>
    <row r="59" spans="1:7" x14ac:dyDescent="0.3">
      <c r="A59" s="1">
        <v>1165</v>
      </c>
    </row>
    <row r="60" spans="1:7" x14ac:dyDescent="0.3">
      <c r="A60" s="1">
        <v>1239</v>
      </c>
    </row>
    <row r="61" spans="1:7" x14ac:dyDescent="0.3">
      <c r="A61" s="1">
        <v>1265.7</v>
      </c>
    </row>
    <row r="62" spans="1:7" x14ac:dyDescent="0.3">
      <c r="A62" s="1">
        <v>1279.5999999999999</v>
      </c>
    </row>
    <row r="63" spans="1:7" x14ac:dyDescent="0.3">
      <c r="A63" s="1">
        <v>1288.0999999999999</v>
      </c>
      <c r="C63" s="3" t="s">
        <v>1</v>
      </c>
      <c r="D63" s="2" t="s">
        <v>0</v>
      </c>
      <c r="F63" s="3" t="s">
        <v>1</v>
      </c>
      <c r="G63" s="2" t="s">
        <v>0</v>
      </c>
    </row>
    <row r="64" spans="1:7" x14ac:dyDescent="0.3">
      <c r="A64" s="1">
        <v>1293.8</v>
      </c>
      <c r="C64" s="3">
        <f>B2</f>
        <v>0</v>
      </c>
      <c r="D64" s="2">
        <f>C2</f>
        <v>0</v>
      </c>
      <c r="F64" s="3">
        <f>F2</f>
        <v>0</v>
      </c>
      <c r="G64" s="2">
        <f>G2</f>
        <v>0</v>
      </c>
    </row>
    <row r="65" spans="1:7" x14ac:dyDescent="0.3">
      <c r="A65" s="1">
        <v>1297.9000000000001</v>
      </c>
      <c r="C65" s="3">
        <f t="shared" ref="C65:D73" si="5">B3</f>
        <v>-0.2</v>
      </c>
      <c r="D65" s="2">
        <f t="shared" si="5"/>
        <v>0.17167381974248927</v>
      </c>
      <c r="F65" s="3">
        <f t="shared" ref="F65:G73" si="6">F3</f>
        <v>0.2</v>
      </c>
      <c r="G65" s="2">
        <f t="shared" si="6"/>
        <v>-0.17167381974248927</v>
      </c>
    </row>
    <row r="66" spans="1:7" x14ac:dyDescent="0.3">
      <c r="A66" s="1">
        <v>1301.0999999999999</v>
      </c>
      <c r="C66" s="3">
        <f t="shared" si="5"/>
        <v>-0.4</v>
      </c>
      <c r="D66" s="2">
        <f t="shared" si="5"/>
        <v>0.32284100080710249</v>
      </c>
      <c r="F66" s="3">
        <f t="shared" si="6"/>
        <v>0.4</v>
      </c>
      <c r="G66" s="2">
        <f t="shared" si="6"/>
        <v>-0.32284100080710249</v>
      </c>
    </row>
    <row r="67" spans="1:7" x14ac:dyDescent="0.3">
      <c r="A67" s="1">
        <v>1316</v>
      </c>
      <c r="C67" s="3">
        <f t="shared" si="5"/>
        <v>-0.6</v>
      </c>
      <c r="D67" s="2">
        <f t="shared" si="5"/>
        <v>0.47404598246029861</v>
      </c>
      <c r="F67" s="3">
        <f t="shared" si="6"/>
        <v>0.6</v>
      </c>
      <c r="G67" s="2">
        <f t="shared" si="6"/>
        <v>-0.47404598246029861</v>
      </c>
    </row>
    <row r="68" spans="1:7" x14ac:dyDescent="0.3">
      <c r="A68" s="1">
        <v>1382</v>
      </c>
      <c r="C68" s="3">
        <f t="shared" si="5"/>
        <v>-0.8</v>
      </c>
      <c r="D68" s="2">
        <f t="shared" si="5"/>
        <v>0.62519537355423571</v>
      </c>
      <c r="F68" s="3">
        <f t="shared" si="6"/>
        <v>0.8</v>
      </c>
      <c r="G68" s="2">
        <f t="shared" si="6"/>
        <v>-0.62519537355423571</v>
      </c>
    </row>
    <row r="69" spans="1:7" x14ac:dyDescent="0.3">
      <c r="A69" s="1">
        <v>1440.5</v>
      </c>
      <c r="C69" s="3">
        <f t="shared" si="5"/>
        <v>-1</v>
      </c>
      <c r="D69" s="2">
        <f t="shared" si="5"/>
        <v>0.77633724089744593</v>
      </c>
      <c r="F69" s="3">
        <f t="shared" si="6"/>
        <v>1</v>
      </c>
      <c r="G69" s="2">
        <f t="shared" si="6"/>
        <v>-0.77633724089744593</v>
      </c>
    </row>
    <row r="70" spans="1:7" x14ac:dyDescent="0.3">
      <c r="A70" s="1">
        <v>1493.3</v>
      </c>
      <c r="C70" s="3">
        <f t="shared" si="5"/>
        <v>-1.2</v>
      </c>
      <c r="D70" s="2">
        <f t="shared" si="5"/>
        <v>0.92750038645849442</v>
      </c>
      <c r="F70" s="3">
        <f t="shared" si="6"/>
        <v>1.2</v>
      </c>
      <c r="G70" s="2">
        <f t="shared" si="6"/>
        <v>-0.92750038645849442</v>
      </c>
    </row>
    <row r="71" spans="1:7" x14ac:dyDescent="0.3">
      <c r="A71" s="1">
        <v>1540.6</v>
      </c>
      <c r="C71" s="3">
        <f t="shared" si="5"/>
        <v>-1.4</v>
      </c>
      <c r="D71" s="2">
        <f t="shared" si="5"/>
        <v>1.0786655366361044</v>
      </c>
      <c r="F71" s="3">
        <f t="shared" si="6"/>
        <v>1.4</v>
      </c>
      <c r="G71" s="2">
        <f t="shared" si="6"/>
        <v>-1.0786655366361044</v>
      </c>
    </row>
    <row r="72" spans="1:7" x14ac:dyDescent="0.3">
      <c r="A72" s="1">
        <v>1640.4</v>
      </c>
      <c r="C72" s="3">
        <f t="shared" si="5"/>
        <v>-1.6</v>
      </c>
      <c r="D72" s="2">
        <f t="shared" si="5"/>
        <v>1.2297286911075245</v>
      </c>
      <c r="F72" s="3">
        <f t="shared" si="6"/>
        <v>1.6</v>
      </c>
      <c r="G72" s="2">
        <f t="shared" si="6"/>
        <v>-1.2297286911075245</v>
      </c>
    </row>
    <row r="73" spans="1:7" x14ac:dyDescent="0.3">
      <c r="A73" s="1">
        <v>1720.6</v>
      </c>
      <c r="C73" s="3">
        <f t="shared" si="5"/>
        <v>-1.8</v>
      </c>
      <c r="D73" s="2">
        <f t="shared" si="5"/>
        <v>1.3677811550151975</v>
      </c>
      <c r="F73" s="3">
        <f t="shared" si="6"/>
        <v>1.8</v>
      </c>
      <c r="G73" s="2">
        <f t="shared" si="6"/>
        <v>-1.3677811550151975</v>
      </c>
    </row>
    <row r="74" spans="1:7" x14ac:dyDescent="0.3">
      <c r="A74" s="1">
        <v>1786.6</v>
      </c>
    </row>
    <row r="75" spans="1:7" x14ac:dyDescent="0.3">
      <c r="A75" s="1">
        <v>1842</v>
      </c>
    </row>
    <row r="76" spans="1:7" x14ac:dyDescent="0.3">
      <c r="A76" s="1">
        <v>1889</v>
      </c>
    </row>
    <row r="77" spans="1:7" x14ac:dyDescent="0.3">
      <c r="A77" s="1">
        <v>1929.6</v>
      </c>
    </row>
    <row r="78" spans="1:7" x14ac:dyDescent="0.3">
      <c r="A78" s="1">
        <v>1964.8</v>
      </c>
    </row>
    <row r="79" spans="1:7" x14ac:dyDescent="0.3">
      <c r="A79" s="1">
        <v>1995.7</v>
      </c>
    </row>
    <row r="80" spans="1:7" x14ac:dyDescent="0.3">
      <c r="A80" s="1">
        <v>2022.9</v>
      </c>
    </row>
    <row r="81" spans="1:1" x14ac:dyDescent="0.3">
      <c r="A81" s="1">
        <v>2047.3</v>
      </c>
    </row>
    <row r="82" spans="1:1" x14ac:dyDescent="0.3">
      <c r="A82" s="1">
        <v>2069.1</v>
      </c>
    </row>
    <row r="83" spans="1:1" x14ac:dyDescent="0.3">
      <c r="A83" s="1">
        <v>2088.8000000000002</v>
      </c>
    </row>
    <row r="84" spans="1:1" x14ac:dyDescent="0.3">
      <c r="A84" s="1">
        <v>2106.6</v>
      </c>
    </row>
    <row r="85" spans="1:1" x14ac:dyDescent="0.3">
      <c r="A85" s="1">
        <v>2122.8000000000002</v>
      </c>
    </row>
    <row r="86" spans="1:1" x14ac:dyDescent="0.3">
      <c r="A86" s="1">
        <v>2129</v>
      </c>
    </row>
    <row r="87" spans="1:1" x14ac:dyDescent="0.3">
      <c r="A87" s="1">
        <v>2134.9</v>
      </c>
    </row>
    <row r="88" spans="1:1" x14ac:dyDescent="0.3">
      <c r="A88" s="1">
        <v>2296.9</v>
      </c>
    </row>
    <row r="89" spans="1:1" x14ac:dyDescent="0.3">
      <c r="A89" s="1">
        <v>2597</v>
      </c>
    </row>
    <row r="90" spans="1:1" x14ac:dyDescent="0.3">
      <c r="A90" s="1">
        <v>2973</v>
      </c>
    </row>
    <row r="91" spans="1:1" x14ac:dyDescent="0.3">
      <c r="A91" s="1">
        <v>3451</v>
      </c>
    </row>
    <row r="92" spans="1:1" x14ac:dyDescent="0.3">
      <c r="A92" s="1">
        <v>4081</v>
      </c>
    </row>
    <row r="93" spans="1:1" x14ac:dyDescent="0.3">
      <c r="A93" s="1">
        <v>4937</v>
      </c>
    </row>
    <row r="94" spans="1:1" x14ac:dyDescent="0.3">
      <c r="A94" s="1">
        <v>6182</v>
      </c>
    </row>
    <row r="95" spans="1:1" x14ac:dyDescent="0.3">
      <c r="A95" s="1">
        <v>8160</v>
      </c>
    </row>
    <row r="96" spans="1:1" x14ac:dyDescent="0.3">
      <c r="A96" s="1">
        <v>11740</v>
      </c>
    </row>
    <row r="97" spans="1:1" x14ac:dyDescent="0.3">
      <c r="A97" s="1">
        <v>20300</v>
      </c>
    </row>
    <row r="98" spans="1:1" x14ac:dyDescent="0.3">
      <c r="A98" s="1">
        <v>66900</v>
      </c>
    </row>
    <row r="99" spans="1:1" x14ac:dyDescent="0.3">
      <c r="A99" s="1">
        <v>99999.9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钦宝 纪</dc:creator>
  <cp:lastModifiedBy>钦宝 纪</cp:lastModifiedBy>
  <dcterms:created xsi:type="dcterms:W3CDTF">2023-12-21T17:30:57Z</dcterms:created>
  <dcterms:modified xsi:type="dcterms:W3CDTF">2023-12-28T08:34:25Z</dcterms:modified>
</cp:coreProperties>
</file>